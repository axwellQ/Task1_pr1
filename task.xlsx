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izul\OneDrive\Desktop\"/>
    </mc:Choice>
  </mc:AlternateContent>
  <xr:revisionPtr revIDLastSave="0" documentId="13_ncr:1_{46621833-2F70-4707-8218-6DB9D29FBEAB}" xr6:coauthVersionLast="47" xr6:coauthVersionMax="47" xr10:uidLastSave="{00000000-0000-0000-0000-000000000000}"/>
  <bookViews>
    <workbookView xWindow="2280" yWindow="4260" windowWidth="28800" windowHeight="1534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" l="1"/>
  <c r="I34" i="1"/>
  <c r="I35" i="1"/>
  <c r="I36" i="1"/>
  <c r="I37" i="1"/>
  <c r="I38" i="1"/>
  <c r="I39" i="1"/>
  <c r="I40" i="1"/>
  <c r="I41" i="1"/>
  <c r="I32" i="1"/>
  <c r="H33" i="1"/>
  <c r="H34" i="1"/>
  <c r="H35" i="1"/>
  <c r="H36" i="1"/>
  <c r="H37" i="1"/>
  <c r="H38" i="1"/>
  <c r="H39" i="1"/>
  <c r="H40" i="1"/>
  <c r="H41" i="1"/>
  <c r="H32" i="1"/>
  <c r="G33" i="1"/>
  <c r="G34" i="1"/>
  <c r="G35" i="1"/>
  <c r="G36" i="1"/>
  <c r="G37" i="1"/>
  <c r="G38" i="1"/>
  <c r="G39" i="1"/>
  <c r="G40" i="1"/>
  <c r="G41" i="1"/>
  <c r="G32" i="1"/>
  <c r="I17" i="1"/>
  <c r="I18" i="1"/>
  <c r="I19" i="1"/>
  <c r="I20" i="1"/>
  <c r="I21" i="1"/>
  <c r="I22" i="1"/>
  <c r="I23" i="1"/>
  <c r="I24" i="1"/>
  <c r="I25" i="1"/>
  <c r="I16" i="1"/>
  <c r="H17" i="1"/>
  <c r="H18" i="1"/>
  <c r="H19" i="1"/>
  <c r="H20" i="1"/>
  <c r="H21" i="1"/>
  <c r="H22" i="1"/>
  <c r="H23" i="1"/>
  <c r="H24" i="1"/>
  <c r="H16" i="1"/>
  <c r="G17" i="1"/>
  <c r="G18" i="1"/>
  <c r="G19" i="1"/>
  <c r="G20" i="1"/>
  <c r="G21" i="1"/>
  <c r="G22" i="1"/>
  <c r="G23" i="1"/>
  <c r="G24" i="1"/>
  <c r="G25" i="1"/>
  <c r="G16" i="1"/>
  <c r="I4" i="1"/>
  <c r="I5" i="1"/>
  <c r="I6" i="1"/>
  <c r="I7" i="1"/>
  <c r="I8" i="1"/>
  <c r="I9" i="1"/>
  <c r="I10" i="1"/>
  <c r="I11" i="1"/>
  <c r="I3" i="1"/>
  <c r="H3" i="1"/>
  <c r="H4" i="1"/>
  <c r="H5" i="1"/>
  <c r="H6" i="1"/>
  <c r="H7" i="1"/>
  <c r="H8" i="1"/>
  <c r="H9" i="1"/>
  <c r="H10" i="1"/>
  <c r="H11" i="1"/>
  <c r="H2" i="1"/>
  <c r="G2" i="1"/>
  <c r="G3" i="1"/>
  <c r="G5" i="1"/>
  <c r="G6" i="1"/>
  <c r="G7" i="1"/>
  <c r="G8" i="1"/>
  <c r="G9" i="1"/>
  <c r="G10" i="1"/>
  <c r="G11" i="1"/>
  <c r="G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81346816942"/>
          <c:y val="0.18015775942452694"/>
          <c:w val="0.77487185425351246"/>
          <c:h val="0.7664117915684686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Лист1!$A$2:$A$11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xVal>
          <c:yVal>
            <c:numRef>
              <c:f>Лист1!$G$2:$G$11</c:f>
              <c:numCache>
                <c:formatCode>General</c:formatCode>
                <c:ptCount val="10"/>
                <c:pt idx="0">
                  <c:v>2200</c:v>
                </c:pt>
                <c:pt idx="1">
                  <c:v>83800</c:v>
                </c:pt>
                <c:pt idx="2">
                  <c:v>2235940</c:v>
                </c:pt>
                <c:pt idx="3">
                  <c:v>2319740</c:v>
                </c:pt>
                <c:pt idx="4">
                  <c:v>11260460</c:v>
                </c:pt>
                <c:pt idx="5">
                  <c:v>44141100</c:v>
                </c:pt>
                <c:pt idx="6">
                  <c:v>174750860</c:v>
                </c:pt>
                <c:pt idx="7">
                  <c:v>686355360</c:v>
                </c:pt>
                <c:pt idx="8">
                  <c:v>2742204160</c:v>
                </c:pt>
                <c:pt idx="9">
                  <c:v>10987511120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D1-44AD-888C-55C2438BE9C3}"/>
            </c:ext>
          </c:extLst>
        </c:ser>
        <c:ser>
          <c:idx val="1"/>
          <c:order val="1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Лист1!$A$2:$A$11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xVal>
          <c:yVal>
            <c:numRef>
              <c:f>Лист1!$H$2:$H$11</c:f>
              <c:numCache>
                <c:formatCode>General</c:formatCode>
                <c:ptCount val="10"/>
                <c:pt idx="0">
                  <c:v>22000</c:v>
                </c:pt>
                <c:pt idx="1">
                  <c:v>8380000</c:v>
                </c:pt>
                <c:pt idx="2">
                  <c:v>2235940000</c:v>
                </c:pt>
                <c:pt idx="3">
                  <c:v>4639480000</c:v>
                </c:pt>
                <c:pt idx="4">
                  <c:v>45041840000</c:v>
                </c:pt>
                <c:pt idx="5">
                  <c:v>353128800000</c:v>
                </c:pt>
                <c:pt idx="6">
                  <c:v>2796013760000</c:v>
                </c:pt>
                <c:pt idx="7">
                  <c:v>21963371520000</c:v>
                </c:pt>
                <c:pt idx="8">
                  <c:v>175501066240000</c:v>
                </c:pt>
                <c:pt idx="9">
                  <c:v>1406401423360000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D1-44AD-888C-55C2438BE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525759"/>
        <c:axId val="1909631632"/>
      </c:scatterChart>
      <c:valAx>
        <c:axId val="132252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9631632"/>
        <c:crosses val="autoZero"/>
        <c:crossBetween val="midCat"/>
      </c:valAx>
      <c:valAx>
        <c:axId val="190963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252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Лист1!$A$16:$A$25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xVal>
          <c:yVal>
            <c:numRef>
              <c:f>Лист1!$G$16:$G$25</c:f>
              <c:numCache>
                <c:formatCode>General</c:formatCode>
                <c:ptCount val="10"/>
                <c:pt idx="0">
                  <c:v>2080</c:v>
                </c:pt>
                <c:pt idx="1">
                  <c:v>83160</c:v>
                </c:pt>
                <c:pt idx="2">
                  <c:v>1929820</c:v>
                </c:pt>
                <c:pt idx="3">
                  <c:v>2000980</c:v>
                </c:pt>
                <c:pt idx="4">
                  <c:v>3949860</c:v>
                </c:pt>
                <c:pt idx="5">
                  <c:v>10410060</c:v>
                </c:pt>
                <c:pt idx="6">
                  <c:v>40183600</c:v>
                </c:pt>
                <c:pt idx="7">
                  <c:v>155679680</c:v>
                </c:pt>
                <c:pt idx="8">
                  <c:v>599100820</c:v>
                </c:pt>
                <c:pt idx="9">
                  <c:v>2363322000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30E-4FBF-8B73-AF6F0B3B922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Лист1!$A$15:$A$25</c:f>
              <c:numCache>
                <c:formatCode>General</c:formatCode>
                <c:ptCount val="11"/>
                <c:pt idx="0">
                  <c:v>10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2000</c:v>
                </c:pt>
                <c:pt idx="5">
                  <c:v>4000</c:v>
                </c:pt>
                <c:pt idx="6">
                  <c:v>8000</c:v>
                </c:pt>
                <c:pt idx="7">
                  <c:v>16000</c:v>
                </c:pt>
                <c:pt idx="8">
                  <c:v>32000</c:v>
                </c:pt>
                <c:pt idx="9">
                  <c:v>64000</c:v>
                </c:pt>
                <c:pt idx="10">
                  <c:v>128000</c:v>
                </c:pt>
              </c:numCache>
            </c:numRef>
          </c:xVal>
          <c:yVal>
            <c:numRef>
              <c:f>Лист1!$H$16:$H$25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30E-4FBF-8B73-AF6F0B3B9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336159"/>
        <c:axId val="1909637392"/>
      </c:scatterChart>
      <c:valAx>
        <c:axId val="140733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9637392"/>
        <c:crosses val="autoZero"/>
        <c:crossBetween val="midCat"/>
      </c:valAx>
      <c:valAx>
        <c:axId val="19096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7336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Лист1!$A$16:$A$25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xVal>
          <c:yVal>
            <c:numRef>
              <c:f>Лист1!$G$32:$G$41</c:f>
              <c:numCache>
                <c:formatCode>General</c:formatCode>
                <c:ptCount val="10"/>
                <c:pt idx="0">
                  <c:v>1820</c:v>
                </c:pt>
                <c:pt idx="1">
                  <c:v>93060</c:v>
                </c:pt>
                <c:pt idx="2">
                  <c:v>1759560</c:v>
                </c:pt>
                <c:pt idx="3">
                  <c:v>1696260</c:v>
                </c:pt>
                <c:pt idx="4">
                  <c:v>4372380</c:v>
                </c:pt>
                <c:pt idx="5">
                  <c:v>3781160</c:v>
                </c:pt>
                <c:pt idx="6">
                  <c:v>14916960</c:v>
                </c:pt>
                <c:pt idx="7">
                  <c:v>59901920</c:v>
                </c:pt>
                <c:pt idx="8">
                  <c:v>226394380</c:v>
                </c:pt>
                <c:pt idx="9">
                  <c:v>891301940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70-4F4C-B94B-2DF5465D55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Лист1!$A$15:$A$25</c:f>
              <c:numCache>
                <c:formatCode>General</c:formatCode>
                <c:ptCount val="11"/>
                <c:pt idx="0">
                  <c:v>10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2000</c:v>
                </c:pt>
                <c:pt idx="5">
                  <c:v>4000</c:v>
                </c:pt>
                <c:pt idx="6">
                  <c:v>8000</c:v>
                </c:pt>
                <c:pt idx="7">
                  <c:v>16000</c:v>
                </c:pt>
                <c:pt idx="8">
                  <c:v>32000</c:v>
                </c:pt>
                <c:pt idx="9">
                  <c:v>64000</c:v>
                </c:pt>
                <c:pt idx="10">
                  <c:v>128000</c:v>
                </c:pt>
              </c:numCache>
            </c:numRef>
          </c:xVal>
          <c:yVal>
            <c:numRef>
              <c:f>Лист1!$H$32:$H$41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70-4F4C-B94B-2DF5465D5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336159"/>
        <c:axId val="1909637392"/>
      </c:scatterChart>
      <c:valAx>
        <c:axId val="140733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9637392"/>
        <c:crosses val="autoZero"/>
        <c:crossBetween val="midCat"/>
      </c:valAx>
      <c:valAx>
        <c:axId val="19096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7336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0</xdr:row>
      <xdr:rowOff>52387</xdr:rowOff>
    </xdr:from>
    <xdr:to>
      <xdr:col>16</xdr:col>
      <xdr:colOff>276225</xdr:colOff>
      <xdr:row>14</xdr:row>
      <xdr:rowOff>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F8E66C0-6013-136C-9F5B-29E395D71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538162</xdr:colOff>
      <xdr:row>14</xdr:row>
      <xdr:rowOff>176212</xdr:rowOff>
    </xdr:from>
    <xdr:to>
      <xdr:col>17</xdr:col>
      <xdr:colOff>233362</xdr:colOff>
      <xdr:row>29</xdr:row>
      <xdr:rowOff>61912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8E67CAA-2E5A-9C79-EEC3-1C76DEE76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552450</xdr:colOff>
      <xdr:row>30</xdr:row>
      <xdr:rowOff>142875</xdr:rowOff>
    </xdr:from>
    <xdr:to>
      <xdr:col>18</xdr:col>
      <xdr:colOff>247650</xdr:colOff>
      <xdr:row>45</xdr:row>
      <xdr:rowOff>28575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C7D652F-4D25-4F3C-8FDE-2DCA0989F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16" workbookViewId="0">
      <selection activeCell="J29" sqref="J29"/>
    </sheetView>
  </sheetViews>
  <sheetFormatPr defaultRowHeight="15" x14ac:dyDescent="0.25"/>
  <cols>
    <col min="2" max="2" width="14.85546875" customWidth="1"/>
    <col min="3" max="3" width="12.42578125" customWidth="1"/>
    <col min="4" max="4" width="13.42578125" customWidth="1"/>
    <col min="5" max="5" width="13" customWidth="1"/>
    <col min="6" max="6" width="12" customWidth="1"/>
    <col min="7" max="7" width="12.7109375" customWidth="1"/>
    <col min="8" max="8" width="20.7109375" customWidth="1"/>
  </cols>
  <sheetData>
    <row r="1" spans="1:9" x14ac:dyDescent="0.25">
      <c r="A1" s="1">
        <v>10</v>
      </c>
      <c r="B1" s="1">
        <v>4100</v>
      </c>
      <c r="C1" s="1">
        <v>5800</v>
      </c>
      <c r="D1" s="1">
        <v>5500</v>
      </c>
      <c r="E1" s="1">
        <v>3900</v>
      </c>
      <c r="F1" s="1">
        <v>4600</v>
      </c>
    </row>
    <row r="2" spans="1:9" x14ac:dyDescent="0.25">
      <c r="A2" s="1">
        <v>10</v>
      </c>
      <c r="B2" s="1">
        <v>2200</v>
      </c>
      <c r="C2" s="1">
        <v>2500</v>
      </c>
      <c r="D2" s="1">
        <v>2000</v>
      </c>
      <c r="E2" s="1">
        <v>2000</v>
      </c>
      <c r="F2" s="1">
        <v>2300</v>
      </c>
      <c r="G2">
        <f t="shared" ref="G2:G3" si="0">AVERAGE(B2:F2)</f>
        <v>2200</v>
      </c>
      <c r="H2">
        <f>A2*G2</f>
        <v>22000</v>
      </c>
    </row>
    <row r="3" spans="1:9" x14ac:dyDescent="0.25">
      <c r="A3" s="1">
        <v>100</v>
      </c>
      <c r="B3" s="1">
        <v>81100</v>
      </c>
      <c r="C3" s="1">
        <v>83100</v>
      </c>
      <c r="D3" s="1">
        <v>85800</v>
      </c>
      <c r="E3" s="1">
        <v>82600</v>
      </c>
      <c r="F3" s="1">
        <v>86400</v>
      </c>
      <c r="G3">
        <f t="shared" si="0"/>
        <v>83800</v>
      </c>
      <c r="H3">
        <f t="shared" ref="H3:H11" si="1">A3*G3</f>
        <v>8380000</v>
      </c>
      <c r="I3">
        <f>G3/G2</f>
        <v>38.090909090909093</v>
      </c>
    </row>
    <row r="4" spans="1:9" x14ac:dyDescent="0.25">
      <c r="A4" s="1">
        <v>1000</v>
      </c>
      <c r="B4" s="1">
        <v>2478200</v>
      </c>
      <c r="C4" s="1">
        <v>2235700</v>
      </c>
      <c r="D4" s="1">
        <v>2379000</v>
      </c>
      <c r="E4" s="1">
        <v>2243000</v>
      </c>
      <c r="F4" s="1">
        <v>1843800</v>
      </c>
      <c r="G4">
        <f>AVERAGE(B4:F4)</f>
        <v>2235940</v>
      </c>
      <c r="H4">
        <f t="shared" si="1"/>
        <v>2235940000</v>
      </c>
      <c r="I4">
        <f t="shared" ref="I4:I11" si="2">G4/G3</f>
        <v>26.681861575178999</v>
      </c>
    </row>
    <row r="5" spans="1:9" x14ac:dyDescent="0.25">
      <c r="A5" s="1">
        <v>2000</v>
      </c>
      <c r="B5" s="1">
        <v>3162400</v>
      </c>
      <c r="C5" s="1">
        <v>1725800</v>
      </c>
      <c r="D5" s="1">
        <v>2890500</v>
      </c>
      <c r="E5" s="1">
        <v>2889100</v>
      </c>
      <c r="F5" s="1">
        <v>930900</v>
      </c>
      <c r="G5">
        <f t="shared" ref="G5:G11" si="3">AVERAGE(B5:F5)</f>
        <v>2319740</v>
      </c>
      <c r="H5">
        <f t="shared" si="1"/>
        <v>4639480000</v>
      </c>
      <c r="I5">
        <f t="shared" si="2"/>
        <v>1.0374786443285597</v>
      </c>
    </row>
    <row r="6" spans="1:9" x14ac:dyDescent="0.25">
      <c r="A6" s="1">
        <v>4000</v>
      </c>
      <c r="B6" s="1">
        <v>11297500</v>
      </c>
      <c r="C6" s="1">
        <v>10767400</v>
      </c>
      <c r="D6" s="1">
        <v>11168800</v>
      </c>
      <c r="E6" s="1">
        <v>11253300</v>
      </c>
      <c r="F6" s="1">
        <v>11815300</v>
      </c>
      <c r="G6">
        <f t="shared" si="3"/>
        <v>11260460</v>
      </c>
      <c r="H6">
        <f t="shared" si="1"/>
        <v>45041840000</v>
      </c>
      <c r="I6">
        <f t="shared" si="2"/>
        <v>4.8541905558381542</v>
      </c>
    </row>
    <row r="7" spans="1:9" x14ac:dyDescent="0.25">
      <c r="A7" s="1">
        <v>8000</v>
      </c>
      <c r="B7" s="1">
        <v>44059200</v>
      </c>
      <c r="C7" s="1">
        <v>45065800</v>
      </c>
      <c r="D7" s="1">
        <v>43747800</v>
      </c>
      <c r="E7" s="1">
        <v>44881400</v>
      </c>
      <c r="F7" s="1">
        <v>42951300</v>
      </c>
      <c r="G7">
        <f t="shared" si="3"/>
        <v>44141100</v>
      </c>
      <c r="H7">
        <f t="shared" si="1"/>
        <v>353128800000</v>
      </c>
      <c r="I7">
        <f t="shared" si="2"/>
        <v>3.9200085964516549</v>
      </c>
    </row>
    <row r="8" spans="1:9" x14ac:dyDescent="0.25">
      <c r="A8" s="1">
        <v>16000</v>
      </c>
      <c r="B8" s="1">
        <v>173812800</v>
      </c>
      <c r="C8" s="1">
        <v>175602600</v>
      </c>
      <c r="D8" s="1">
        <v>174660700</v>
      </c>
      <c r="E8" s="1">
        <v>173577100</v>
      </c>
      <c r="F8" s="1">
        <v>176101100</v>
      </c>
      <c r="G8">
        <f t="shared" si="3"/>
        <v>174750860</v>
      </c>
      <c r="H8">
        <f t="shared" si="1"/>
        <v>2796013760000</v>
      </c>
      <c r="I8">
        <f t="shared" si="2"/>
        <v>3.958914934154337</v>
      </c>
    </row>
    <row r="9" spans="1:9" x14ac:dyDescent="0.25">
      <c r="A9" s="1">
        <v>32000</v>
      </c>
      <c r="B9" s="1">
        <v>685369600</v>
      </c>
      <c r="C9" s="1">
        <v>689530500</v>
      </c>
      <c r="D9" s="1">
        <v>683659600</v>
      </c>
      <c r="E9" s="1">
        <v>686987200</v>
      </c>
      <c r="F9" s="1">
        <v>686229900</v>
      </c>
      <c r="G9">
        <f t="shared" si="3"/>
        <v>686355360</v>
      </c>
      <c r="H9">
        <f t="shared" si="1"/>
        <v>21963371520000</v>
      </c>
      <c r="I9">
        <f t="shared" si="2"/>
        <v>3.9276222159936722</v>
      </c>
    </row>
    <row r="10" spans="1:9" x14ac:dyDescent="0.25">
      <c r="A10" s="1">
        <v>64000</v>
      </c>
      <c r="B10" s="1">
        <v>2739828000</v>
      </c>
      <c r="C10" s="1">
        <v>2731308100</v>
      </c>
      <c r="D10" s="1">
        <v>2751101400</v>
      </c>
      <c r="E10" s="1">
        <v>2754625500</v>
      </c>
      <c r="F10" s="1">
        <v>2734157800</v>
      </c>
      <c r="G10">
        <f t="shared" si="3"/>
        <v>2742204160</v>
      </c>
      <c r="H10">
        <f t="shared" si="1"/>
        <v>175501066240000</v>
      </c>
      <c r="I10">
        <f t="shared" si="2"/>
        <v>3.9953125156624405</v>
      </c>
    </row>
    <row r="11" spans="1:9" x14ac:dyDescent="0.25">
      <c r="A11" s="1">
        <v>128000</v>
      </c>
      <c r="B11" s="1">
        <v>10917791700</v>
      </c>
      <c r="C11" s="1">
        <v>11043813600</v>
      </c>
      <c r="D11" s="1">
        <v>11060831000</v>
      </c>
      <c r="E11" s="1">
        <v>10995619400</v>
      </c>
      <c r="F11" s="1">
        <v>10919499900</v>
      </c>
      <c r="G11">
        <f t="shared" si="3"/>
        <v>10987511120</v>
      </c>
      <c r="H11">
        <f t="shared" si="1"/>
        <v>1406401423360000</v>
      </c>
      <c r="I11">
        <f t="shared" si="2"/>
        <v>4.0068173188096976</v>
      </c>
    </row>
    <row r="15" spans="1:9" x14ac:dyDescent="0.25">
      <c r="A15" s="1">
        <v>10</v>
      </c>
      <c r="B15" s="1">
        <v>5100</v>
      </c>
      <c r="C15" s="1">
        <v>4700</v>
      </c>
      <c r="D15" s="1">
        <v>5100</v>
      </c>
      <c r="E15" s="1">
        <v>4200</v>
      </c>
      <c r="F15" s="2">
        <v>4700</v>
      </c>
      <c r="G15" s="3"/>
    </row>
    <row r="16" spans="1:9" x14ac:dyDescent="0.25">
      <c r="A16" s="1">
        <v>10</v>
      </c>
      <c r="B16" s="1">
        <v>2400</v>
      </c>
      <c r="C16" s="1">
        <v>2000</v>
      </c>
      <c r="D16" s="1">
        <v>2000</v>
      </c>
      <c r="E16" s="1">
        <v>1900</v>
      </c>
      <c r="F16" s="2">
        <v>2100</v>
      </c>
      <c r="G16" s="3">
        <f>AVERAGE(B16:F16)</f>
        <v>2080</v>
      </c>
      <c r="H16">
        <f t="shared" ref="H16:H24" si="4">A16</f>
        <v>10</v>
      </c>
      <c r="I16">
        <f>G17/G16</f>
        <v>39.980769230769234</v>
      </c>
    </row>
    <row r="17" spans="1:9" x14ac:dyDescent="0.25">
      <c r="A17" s="1">
        <v>100</v>
      </c>
      <c r="B17" s="1">
        <v>68400</v>
      </c>
      <c r="C17" s="1">
        <v>74400</v>
      </c>
      <c r="D17" s="1">
        <v>81200</v>
      </c>
      <c r="E17" s="1">
        <v>88600</v>
      </c>
      <c r="F17" s="2">
        <v>103200</v>
      </c>
      <c r="G17" s="3">
        <f t="shared" ref="G17:G25" si="5">AVERAGE(B17:F17)</f>
        <v>83160</v>
      </c>
      <c r="H17">
        <f t="shared" si="4"/>
        <v>100</v>
      </c>
      <c r="I17">
        <f t="shared" ref="I17:I25" si="6">G18/G17</f>
        <v>23.206108706108704</v>
      </c>
    </row>
    <row r="18" spans="1:9" x14ac:dyDescent="0.25">
      <c r="A18" s="1">
        <v>1000</v>
      </c>
      <c r="B18" s="1">
        <v>2648900</v>
      </c>
      <c r="C18" s="1">
        <v>1665100</v>
      </c>
      <c r="D18" s="1">
        <v>1729000</v>
      </c>
      <c r="E18" s="1">
        <v>1819600</v>
      </c>
      <c r="F18" s="2">
        <v>1786500</v>
      </c>
      <c r="G18" s="3">
        <f t="shared" si="5"/>
        <v>1929820</v>
      </c>
      <c r="H18">
        <f t="shared" si="4"/>
        <v>1000</v>
      </c>
      <c r="I18">
        <f t="shared" si="6"/>
        <v>1.0368739053383218</v>
      </c>
    </row>
    <row r="19" spans="1:9" x14ac:dyDescent="0.25">
      <c r="A19" s="1">
        <v>2000</v>
      </c>
      <c r="B19" s="1">
        <v>1518700</v>
      </c>
      <c r="C19" s="1">
        <v>1970500</v>
      </c>
      <c r="D19" s="1">
        <v>1112900</v>
      </c>
      <c r="E19" s="1">
        <v>1935700</v>
      </c>
      <c r="F19" s="2">
        <v>3467100</v>
      </c>
      <c r="G19" s="3">
        <f t="shared" si="5"/>
        <v>2000980</v>
      </c>
      <c r="H19">
        <f t="shared" si="4"/>
        <v>2000</v>
      </c>
      <c r="I19">
        <f t="shared" si="6"/>
        <v>1.9739627582484582</v>
      </c>
    </row>
    <row r="20" spans="1:9" x14ac:dyDescent="0.25">
      <c r="A20" s="1">
        <v>4000</v>
      </c>
      <c r="B20" s="1">
        <v>2795900</v>
      </c>
      <c r="C20" s="1">
        <v>3354000</v>
      </c>
      <c r="D20" s="1">
        <v>5853400</v>
      </c>
      <c r="E20" s="1">
        <v>2472100</v>
      </c>
      <c r="F20" s="2">
        <v>5273900</v>
      </c>
      <c r="G20" s="3">
        <f t="shared" si="5"/>
        <v>3949860</v>
      </c>
      <c r="H20">
        <f t="shared" si="4"/>
        <v>4000</v>
      </c>
      <c r="I20">
        <f t="shared" si="6"/>
        <v>2.6355516398049552</v>
      </c>
    </row>
    <row r="21" spans="1:9" x14ac:dyDescent="0.25">
      <c r="A21" s="1">
        <v>8000</v>
      </c>
      <c r="B21" s="1">
        <v>9773400</v>
      </c>
      <c r="C21" s="1">
        <v>10015500</v>
      </c>
      <c r="D21" s="1">
        <v>10964600</v>
      </c>
      <c r="E21" s="1">
        <v>10699600</v>
      </c>
      <c r="F21" s="2">
        <v>10597200</v>
      </c>
      <c r="G21" s="3">
        <f t="shared" si="5"/>
        <v>10410060</v>
      </c>
      <c r="H21">
        <f t="shared" si="4"/>
        <v>8000</v>
      </c>
      <c r="I21">
        <f t="shared" si="6"/>
        <v>3.8600738132152936</v>
      </c>
    </row>
    <row r="22" spans="1:9" x14ac:dyDescent="0.25">
      <c r="A22" s="1">
        <v>16000</v>
      </c>
      <c r="B22" s="1">
        <v>40383900</v>
      </c>
      <c r="C22" s="1">
        <v>38125400</v>
      </c>
      <c r="D22" s="1">
        <v>41122100</v>
      </c>
      <c r="E22" s="1">
        <v>41110500</v>
      </c>
      <c r="F22" s="2">
        <v>40176100</v>
      </c>
      <c r="G22" s="3">
        <f t="shared" si="5"/>
        <v>40183600</v>
      </c>
      <c r="H22">
        <f t="shared" si="4"/>
        <v>16000</v>
      </c>
      <c r="I22">
        <f t="shared" si="6"/>
        <v>3.8742093789506167</v>
      </c>
    </row>
    <row r="23" spans="1:9" x14ac:dyDescent="0.25">
      <c r="A23" s="1">
        <v>32000</v>
      </c>
      <c r="B23" s="1">
        <v>157232300</v>
      </c>
      <c r="C23" s="1">
        <v>154457700</v>
      </c>
      <c r="D23" s="1">
        <v>159118000</v>
      </c>
      <c r="E23" s="1">
        <v>152190200</v>
      </c>
      <c r="F23" s="2">
        <v>155400200</v>
      </c>
      <c r="G23" s="3">
        <f t="shared" si="5"/>
        <v>155679680</v>
      </c>
      <c r="H23">
        <f t="shared" si="4"/>
        <v>32000</v>
      </c>
      <c r="I23">
        <f t="shared" si="6"/>
        <v>3.8482916974135608</v>
      </c>
    </row>
    <row r="24" spans="1:9" x14ac:dyDescent="0.25">
      <c r="A24" s="1">
        <v>64000</v>
      </c>
      <c r="B24" s="1">
        <v>618387500</v>
      </c>
      <c r="C24" s="1">
        <v>598212500</v>
      </c>
      <c r="D24" s="1">
        <v>589695500</v>
      </c>
      <c r="E24" s="1">
        <v>600088200</v>
      </c>
      <c r="F24" s="2">
        <v>589120400</v>
      </c>
      <c r="G24" s="3">
        <f t="shared" si="5"/>
        <v>599100820</v>
      </c>
      <c r="H24">
        <f t="shared" si="4"/>
        <v>64000</v>
      </c>
      <c r="I24">
        <f t="shared" si="6"/>
        <v>3.9447817814704376</v>
      </c>
    </row>
    <row r="25" spans="1:9" x14ac:dyDescent="0.25">
      <c r="A25" s="1">
        <v>128000</v>
      </c>
      <c r="B25" s="1">
        <v>2385089000</v>
      </c>
      <c r="C25" s="1">
        <v>2366367600</v>
      </c>
      <c r="D25" s="1">
        <v>2349119700</v>
      </c>
      <c r="E25" s="1">
        <v>2359825400</v>
      </c>
      <c r="F25" s="2">
        <v>2356208300</v>
      </c>
      <c r="G25" s="3">
        <f t="shared" si="5"/>
        <v>2363322000</v>
      </c>
      <c r="H25">
        <v>128000</v>
      </c>
      <c r="I25">
        <f t="shared" si="6"/>
        <v>0</v>
      </c>
    </row>
    <row r="31" spans="1:9" x14ac:dyDescent="0.25">
      <c r="A31" s="1">
        <v>10</v>
      </c>
      <c r="B31" s="1">
        <v>3900</v>
      </c>
      <c r="C31" s="1">
        <v>12900</v>
      </c>
      <c r="D31" s="1">
        <v>3700</v>
      </c>
      <c r="E31" s="1">
        <v>4300</v>
      </c>
      <c r="F31" s="1">
        <v>3800</v>
      </c>
    </row>
    <row r="32" spans="1:9" x14ac:dyDescent="0.25">
      <c r="A32" s="1">
        <v>10</v>
      </c>
      <c r="B32" s="1">
        <v>1800</v>
      </c>
      <c r="C32" s="1">
        <v>1800</v>
      </c>
      <c r="D32" s="1">
        <v>1800</v>
      </c>
      <c r="E32" s="1">
        <v>1800</v>
      </c>
      <c r="F32" s="1">
        <v>1900</v>
      </c>
      <c r="G32">
        <f>AVERAGE(B32:F32)</f>
        <v>1820</v>
      </c>
      <c r="H32">
        <f>A32</f>
        <v>10</v>
      </c>
      <c r="I32">
        <f>G33/G32</f>
        <v>51.131868131868131</v>
      </c>
    </row>
    <row r="33" spans="1:9" x14ac:dyDescent="0.25">
      <c r="A33" s="1">
        <v>100</v>
      </c>
      <c r="B33" s="1">
        <v>84800</v>
      </c>
      <c r="C33" s="1">
        <v>124400</v>
      </c>
      <c r="D33" s="1">
        <v>81000</v>
      </c>
      <c r="E33" s="1">
        <v>80100</v>
      </c>
      <c r="F33" s="1">
        <v>95000</v>
      </c>
      <c r="G33">
        <f t="shared" ref="G33:G41" si="7">AVERAGE(B33:F33)</f>
        <v>93060</v>
      </c>
      <c r="H33">
        <f t="shared" ref="H33:H41" si="8">A33</f>
        <v>100</v>
      </c>
      <c r="I33">
        <f t="shared" ref="I33:I41" si="9">G34/G33</f>
        <v>18.907801418439718</v>
      </c>
    </row>
    <row r="34" spans="1:9" x14ac:dyDescent="0.25">
      <c r="A34" s="1">
        <v>1000</v>
      </c>
      <c r="B34" s="1">
        <v>1636000</v>
      </c>
      <c r="C34" s="1">
        <v>1964000</v>
      </c>
      <c r="D34" s="1">
        <v>1639600</v>
      </c>
      <c r="E34" s="1">
        <v>1904800</v>
      </c>
      <c r="F34" s="1">
        <v>1653400</v>
      </c>
      <c r="G34">
        <f t="shared" si="7"/>
        <v>1759560</v>
      </c>
      <c r="H34">
        <f t="shared" si="8"/>
        <v>1000</v>
      </c>
      <c r="I34">
        <f t="shared" si="9"/>
        <v>0.9640250971833868</v>
      </c>
    </row>
    <row r="35" spans="1:9" x14ac:dyDescent="0.25">
      <c r="A35" s="1">
        <v>2000</v>
      </c>
      <c r="B35" s="1">
        <v>1963900</v>
      </c>
      <c r="C35" s="1">
        <v>862400</v>
      </c>
      <c r="D35" s="1">
        <v>1621900</v>
      </c>
      <c r="E35" s="1">
        <v>3198700</v>
      </c>
      <c r="F35" s="1">
        <v>834400</v>
      </c>
      <c r="G35">
        <f t="shared" si="7"/>
        <v>1696260</v>
      </c>
      <c r="H35">
        <f t="shared" si="8"/>
        <v>2000</v>
      </c>
      <c r="I35">
        <f t="shared" si="9"/>
        <v>2.5776590852817374</v>
      </c>
    </row>
    <row r="36" spans="1:9" x14ac:dyDescent="0.25">
      <c r="A36" s="1">
        <v>4000</v>
      </c>
      <c r="B36" s="1">
        <v>4426900</v>
      </c>
      <c r="C36" s="1">
        <v>6946100</v>
      </c>
      <c r="D36" s="1">
        <v>5006700</v>
      </c>
      <c r="E36" s="1">
        <v>1260300</v>
      </c>
      <c r="F36" s="1">
        <v>4221900</v>
      </c>
      <c r="G36">
        <f t="shared" si="7"/>
        <v>4372380</v>
      </c>
      <c r="H36">
        <f t="shared" si="8"/>
        <v>4000</v>
      </c>
      <c r="I36">
        <f t="shared" si="9"/>
        <v>0.86478302434829546</v>
      </c>
    </row>
    <row r="37" spans="1:9" x14ac:dyDescent="0.25">
      <c r="A37" s="1">
        <v>8000</v>
      </c>
      <c r="B37" s="1">
        <v>3685700</v>
      </c>
      <c r="C37" s="1">
        <v>4170300</v>
      </c>
      <c r="D37" s="1">
        <v>3566000</v>
      </c>
      <c r="E37" s="1">
        <v>3836900</v>
      </c>
      <c r="F37" s="1">
        <v>3646900</v>
      </c>
      <c r="G37">
        <f t="shared" si="7"/>
        <v>3781160</v>
      </c>
      <c r="H37">
        <f t="shared" si="8"/>
        <v>8000</v>
      </c>
      <c r="I37">
        <f t="shared" si="9"/>
        <v>3.9450750563319192</v>
      </c>
    </row>
    <row r="38" spans="1:9" x14ac:dyDescent="0.25">
      <c r="A38" s="1">
        <v>16000</v>
      </c>
      <c r="B38" s="1">
        <v>14468400</v>
      </c>
      <c r="C38" s="1">
        <v>16978400</v>
      </c>
      <c r="D38" s="1">
        <v>14234800</v>
      </c>
      <c r="E38" s="1">
        <v>14517200</v>
      </c>
      <c r="F38" s="1">
        <v>14386000</v>
      </c>
      <c r="G38">
        <f t="shared" si="7"/>
        <v>14916960</v>
      </c>
      <c r="H38">
        <f t="shared" si="8"/>
        <v>16000</v>
      </c>
      <c r="I38">
        <f t="shared" si="9"/>
        <v>4.0156922053823303</v>
      </c>
    </row>
    <row r="39" spans="1:9" x14ac:dyDescent="0.25">
      <c r="A39" s="1">
        <v>32000</v>
      </c>
      <c r="B39" s="1">
        <v>56782500</v>
      </c>
      <c r="C39" s="1">
        <v>57899500</v>
      </c>
      <c r="D39" s="1">
        <v>63635000</v>
      </c>
      <c r="E39" s="1">
        <v>58498400</v>
      </c>
      <c r="F39" s="1">
        <v>62694200</v>
      </c>
      <c r="G39">
        <f t="shared" si="7"/>
        <v>59901920</v>
      </c>
      <c r="H39">
        <f t="shared" si="8"/>
        <v>32000</v>
      </c>
      <c r="I39">
        <f t="shared" si="9"/>
        <v>3.7794177548899937</v>
      </c>
    </row>
    <row r="40" spans="1:9" x14ac:dyDescent="0.25">
      <c r="A40" s="1">
        <v>64000</v>
      </c>
      <c r="B40" s="1">
        <v>224684300</v>
      </c>
      <c r="C40" s="1">
        <v>226070300</v>
      </c>
      <c r="D40" s="1">
        <v>227956100</v>
      </c>
      <c r="E40" s="1">
        <v>227295100</v>
      </c>
      <c r="F40" s="1">
        <v>225966100</v>
      </c>
      <c r="G40">
        <f t="shared" si="7"/>
        <v>226394380</v>
      </c>
      <c r="H40">
        <f t="shared" si="8"/>
        <v>64000</v>
      </c>
      <c r="I40">
        <f t="shared" si="9"/>
        <v>3.9369437527556999</v>
      </c>
    </row>
    <row r="41" spans="1:9" x14ac:dyDescent="0.25">
      <c r="A41" s="1">
        <v>128000</v>
      </c>
      <c r="B41" s="1">
        <v>899976100</v>
      </c>
      <c r="C41" s="1">
        <v>887350000</v>
      </c>
      <c r="D41" s="1">
        <v>891674700</v>
      </c>
      <c r="E41" s="1">
        <v>887725900</v>
      </c>
      <c r="F41" s="1">
        <v>889783000</v>
      </c>
      <c r="G41">
        <f t="shared" si="7"/>
        <v>891301940</v>
      </c>
      <c r="H41">
        <f t="shared" si="8"/>
        <v>128000</v>
      </c>
      <c r="I41">
        <f t="shared" si="9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Axwell</dc:creator>
  <cp:lastModifiedBy>kizulbaevtam@gmail.com</cp:lastModifiedBy>
  <dcterms:created xsi:type="dcterms:W3CDTF">2015-06-05T18:19:34Z</dcterms:created>
  <dcterms:modified xsi:type="dcterms:W3CDTF">2026-10-06T09:04:44Z</dcterms:modified>
</cp:coreProperties>
</file>